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Работа\AI consalting\ИИ-агент инвест дир\Программа и Код\AI market\docs\requirements\"/>
    </mc:Choice>
  </mc:AlternateContent>
  <xr:revisionPtr revIDLastSave="0" documentId="13_ncr:1_{9ACA53F0-F6B9-47BE-85B8-186EC6AA9233}" xr6:coauthVersionLast="47" xr6:coauthVersionMax="47" xr10:uidLastSave="{00000000-0000-0000-0000-000000000000}"/>
  <bookViews>
    <workbookView xWindow="3384" yWindow="12852" windowWidth="23256" windowHeight="12456" xr2:uid="{853982B9-691D-4505-9B7A-BC8A5BAF8AFD}"/>
  </bookViews>
  <sheets>
    <sheet name="Лист1" sheetId="1" r:id="rId1"/>
    <sheet name="Цена G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1" i="1"/>
  <c r="D12" i="1"/>
  <c r="C12" i="1"/>
  <c r="D16" i="1"/>
  <c r="C16" i="1"/>
  <c r="C18" i="1"/>
  <c r="D18" i="1"/>
  <c r="D17" i="1"/>
  <c r="D15" i="1"/>
  <c r="C17" i="1"/>
  <c r="C15" i="1"/>
  <c r="H27" i="2"/>
  <c r="I27" i="2"/>
  <c r="J27" i="2"/>
  <c r="K27" i="2" s="1"/>
  <c r="H26" i="2"/>
  <c r="I26" i="2"/>
  <c r="J26" i="2"/>
  <c r="K26" i="2" s="1"/>
  <c r="H20" i="2"/>
  <c r="I20" i="2"/>
  <c r="J20" i="2"/>
  <c r="K20" i="2" s="1"/>
  <c r="H10" i="2"/>
  <c r="I10" i="2"/>
  <c r="J10" i="2"/>
  <c r="K10" i="2"/>
  <c r="H7" i="2"/>
  <c r="I7" i="2"/>
  <c r="J7" i="2"/>
  <c r="K7" i="2"/>
  <c r="I11" i="2"/>
  <c r="J11" i="2"/>
  <c r="K11" i="2" s="1"/>
  <c r="I12" i="2"/>
  <c r="J12" i="2"/>
  <c r="K12" i="2" s="1"/>
  <c r="I21" i="2"/>
  <c r="J21" i="2"/>
  <c r="K21" i="2" s="1"/>
  <c r="I24" i="2"/>
  <c r="J24" i="2"/>
  <c r="K24" i="2" s="1"/>
  <c r="I9" i="2"/>
  <c r="J9" i="2"/>
  <c r="K9" i="2" s="1"/>
  <c r="I13" i="2"/>
  <c r="J13" i="2"/>
  <c r="K13" i="2" s="1"/>
  <c r="I14" i="2"/>
  <c r="J14" i="2"/>
  <c r="K14" i="2" s="1"/>
  <c r="I15" i="2"/>
  <c r="J15" i="2"/>
  <c r="K15" i="2" s="1"/>
  <c r="I16" i="2"/>
  <c r="J16" i="2"/>
  <c r="K16" i="2" s="1"/>
  <c r="I17" i="2"/>
  <c r="J17" i="2"/>
  <c r="K17" i="2" s="1"/>
  <c r="I4" i="2"/>
  <c r="J4" i="2"/>
  <c r="K4" i="2" s="1"/>
  <c r="I5" i="2"/>
  <c r="J5" i="2"/>
  <c r="K5" i="2" s="1"/>
  <c r="I19" i="2"/>
  <c r="J19" i="2"/>
  <c r="K19" i="2" s="1"/>
  <c r="I22" i="2"/>
  <c r="J22" i="2"/>
  <c r="K22" i="2" s="1"/>
  <c r="I25" i="2"/>
  <c r="J25" i="2"/>
  <c r="K25" i="2" s="1"/>
  <c r="I18" i="2"/>
  <c r="J18" i="2"/>
  <c r="K18" i="2" s="1"/>
  <c r="I6" i="2"/>
  <c r="J6" i="2"/>
  <c r="K6" i="2" s="1"/>
  <c r="I23" i="2"/>
  <c r="J23" i="2"/>
  <c r="K23" i="2" s="1"/>
  <c r="J8" i="2"/>
  <c r="K8" i="2" s="1"/>
  <c r="I8" i="2"/>
  <c r="H11" i="2"/>
  <c r="H12" i="2"/>
  <c r="H21" i="2"/>
  <c r="H24" i="2"/>
  <c r="H9" i="2"/>
  <c r="H13" i="2"/>
  <c r="H14" i="2"/>
  <c r="H15" i="2"/>
  <c r="H16" i="2"/>
  <c r="H17" i="2"/>
  <c r="H4" i="2"/>
  <c r="H5" i="2"/>
  <c r="H19" i="2"/>
  <c r="H22" i="2"/>
  <c r="H25" i="2"/>
  <c r="H18" i="2"/>
  <c r="H6" i="2"/>
  <c r="H23" i="2"/>
  <c r="H8" i="2"/>
  <c r="D11" i="1" l="1"/>
  <c r="C11" i="1"/>
  <c r="D13" i="1"/>
  <c r="D14" i="1" s="1"/>
  <c r="C13" i="1"/>
  <c r="C14" i="1" s="1"/>
  <c r="D8" i="1"/>
  <c r="C8" i="1"/>
</calcChain>
</file>

<file path=xl/sharedStrings.xml><?xml version="1.0" encoding="utf-8"?>
<sst xmlns="http://schemas.openxmlformats.org/spreadsheetml/2006/main" count="65" uniqueCount="53">
  <si>
    <t>Расчет</t>
  </si>
  <si>
    <t>Количество токенов</t>
  </si>
  <si>
    <t>Цена</t>
  </si>
  <si>
    <t>min</t>
  </si>
  <si>
    <t xml:space="preserve">Цена </t>
  </si>
  <si>
    <t>max</t>
  </si>
  <si>
    <t xml:space="preserve">mistralai/Mistral-7B-Instruct-v0.2 – 6400 токенов </t>
  </si>
  <si>
    <t xml:space="preserve">Знаков </t>
  </si>
  <si>
    <t>Страниц</t>
  </si>
  <si>
    <t>Знаков в токене</t>
  </si>
  <si>
    <t>Model</t>
  </si>
  <si>
    <t>Input</t>
  </si>
  <si>
    <t>Cached input</t>
  </si>
  <si>
    <t>Output</t>
  </si>
  <si>
    <t>gpt-5</t>
  </si>
  <si>
    <t>gpt-5-mini</t>
  </si>
  <si>
    <t>gpt-5-nano</t>
  </si>
  <si>
    <t>gpt-5-chat-latest</t>
  </si>
  <si>
    <t>gpt-5-codex</t>
  </si>
  <si>
    <t>gpt-5-pro</t>
  </si>
  <si>
    <t>gpt-4o</t>
  </si>
  <si>
    <t>gpt-4o-2024-05-13</t>
  </si>
  <si>
    <t>gpt-4o-mini</t>
  </si>
  <si>
    <t>gpt-5,2</t>
  </si>
  <si>
    <t>gpt-5,1</t>
  </si>
  <si>
    <t>gpt-5,2-chat-latest</t>
  </si>
  <si>
    <t>gpt-5,1-chat-latest</t>
  </si>
  <si>
    <t>gpt-5,1-codex-max</t>
  </si>
  <si>
    <t>gpt-5,1-codex</t>
  </si>
  <si>
    <t>gpt-5,2-pro</t>
  </si>
  <si>
    <t>gpt-4,1</t>
  </si>
  <si>
    <t>gpt-4,1-mini</t>
  </si>
  <si>
    <t>gpt-4,1-nano</t>
  </si>
  <si>
    <t>Курс</t>
  </si>
  <si>
    <t>курс</t>
  </si>
  <si>
    <t>токенов</t>
  </si>
  <si>
    <t>вход</t>
  </si>
  <si>
    <t>Кэшированный ввод</t>
  </si>
  <si>
    <t>Выход</t>
  </si>
  <si>
    <t>в руб.</t>
  </si>
  <si>
    <t>цена за выход 1 токена</t>
  </si>
  <si>
    <t>затраты в рублях</t>
  </si>
  <si>
    <t>Gemini 3 Flash</t>
  </si>
  <si>
    <t>Gemini 3 Pro</t>
  </si>
  <si>
    <t>Claude 4 Sonnet</t>
  </si>
  <si>
    <r>
      <t>Qwen 2.5-72B-Instruct</t>
    </r>
    <r>
      <rPr>
        <sz val="12"/>
        <color theme="1"/>
        <rFont val="Segoe UI Light"/>
        <family val="2"/>
        <charset val="204"/>
      </rPr>
      <t> </t>
    </r>
  </si>
  <si>
    <t>DeepSeek-V3.2</t>
  </si>
  <si>
    <t>Аренда сервера</t>
  </si>
  <si>
    <t>$/час</t>
  </si>
  <si>
    <t>RTX A6000</t>
  </si>
  <si>
    <t>Руб/час</t>
  </si>
  <si>
    <t>т.е. сколько запросов я могу сделать</t>
  </si>
  <si>
    <t>раза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</si>
</sst>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2" formatCode="#,##0.0000000"/>
  </numFmts>
  <fonts count="5" x14ac:knownFonts="1">
    <font>
      <sz val="12"/>
      <color theme="1"/>
      <name val="Segoe UI Light"/>
      <family val="2"/>
      <charset val="204"/>
    </font>
    <font>
      <sz val="10"/>
      <color theme="1"/>
      <name val="Segoe UI Light"/>
      <family val="2"/>
      <charset val="204"/>
    </font>
    <font>
      <sz val="8"/>
      <color rgb="FF181818"/>
      <name val="Arial"/>
      <family val="2"/>
      <charset val="204"/>
    </font>
    <font>
      <sz val="11"/>
      <color rgb="FF282828"/>
      <name val="Arial"/>
      <family val="2"/>
      <charset val="204"/>
    </font>
    <font>
      <u/>
      <sz val="12"/>
      <color theme="10"/>
      <name val="Segoe UI Light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DEDED"/>
      </top>
      <bottom/>
      <diagonal/>
    </border>
    <border>
      <left style="thin">
        <color theme="4" tint="0.39997558519241921"/>
      </left>
      <right/>
      <top style="medium">
        <color rgb="FFEDEDED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vertical="top" wrapText="1"/>
    </xf>
    <xf numFmtId="2" fontId="2" fillId="2" borderId="0" xfId="0" applyNumberFormat="1" applyFont="1" applyFill="1" applyAlignment="1">
      <alignment horizontal="center" wrapText="1"/>
    </xf>
    <xf numFmtId="2" fontId="3" fillId="2" borderId="1" xfId="0" applyNumberFormat="1" applyFont="1" applyFill="1" applyBorder="1" applyAlignment="1">
      <alignment horizontal="center" vertical="top" wrapText="1"/>
    </xf>
    <xf numFmtId="2" fontId="0" fillId="0" borderId="0" xfId="0" applyNumberFormat="1"/>
    <xf numFmtId="2" fontId="3" fillId="2" borderId="0" xfId="0" applyNumberFormat="1" applyFont="1" applyFill="1" applyBorder="1" applyAlignment="1">
      <alignment horizontal="center" vertical="top" wrapText="1"/>
    </xf>
    <xf numFmtId="4" fontId="3" fillId="2" borderId="0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4" fontId="0" fillId="0" borderId="0" xfId="0" applyNumberFormat="1"/>
    <xf numFmtId="172" fontId="0" fillId="0" borderId="0" xfId="0" applyNumberFormat="1"/>
    <xf numFmtId="0" fontId="3" fillId="2" borderId="2" xfId="0" applyFont="1" applyFill="1" applyBorder="1" applyAlignment="1">
      <alignment vertical="top" wrapText="1"/>
    </xf>
    <xf numFmtId="0" fontId="4" fillId="0" borderId="0" xfId="1" applyAlignment="1">
      <alignment vertical="center"/>
    </xf>
  </cellXfs>
  <cellStyles count="2">
    <cellStyle name="Гиперссылка" xfId="1" builtinId="8"/>
    <cellStyle name="Обычный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EDEDE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EDEDE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EDEDE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EDEDE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EDEDE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/>
        <top style="medium">
          <color rgb="FFEDEDE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EDEDE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EDEDE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EDEDE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medium">
          <color rgb="FFEDEDE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81818"/>
        <name val="Arial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82828"/>
        <name val="Arial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B6C47CC5-77A7-437A-9924-3FDE0EFC6B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657225</xdr:colOff>
      <xdr:row>4</xdr:row>
      <xdr:rowOff>152400</xdr:rowOff>
    </xdr:from>
    <xdr:to>
      <xdr:col>10</xdr:col>
      <xdr:colOff>609600</xdr:colOff>
      <xdr:row>13</xdr:row>
      <xdr:rowOff>9525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B792737-6EF9-130B-A0F2-14DCFDBB8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809625"/>
          <a:ext cx="200977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295275</xdr:colOff>
      <xdr:row>4</xdr:row>
      <xdr:rowOff>123825</xdr:rowOff>
    </xdr:from>
    <xdr:to>
      <xdr:col>14</xdr:col>
      <xdr:colOff>270795</xdr:colOff>
      <xdr:row>13</xdr:row>
      <xdr:rowOff>186973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2CD6D2C-789F-22B7-143A-DA87F8874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72525" y="781050"/>
          <a:ext cx="2038635" cy="202910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93F0AE-909B-4AF3-90D7-AE7F3F51E355}" name="Таблица1" displayName="Таблица1" ref="B3:K27" totalsRowShown="0" headerRowDxfId="10" dataDxfId="11">
  <autoFilter ref="B3:K27" xr:uid="{7593F0AE-909B-4AF3-90D7-AE7F3F51E355}"/>
  <sortState xmlns:xlrd2="http://schemas.microsoft.com/office/spreadsheetml/2017/richdata2" ref="B4:K25">
    <sortCondition descending="1" ref="E3:E25"/>
  </sortState>
  <tableColumns count="10">
    <tableColumn id="1" xr3:uid="{667F953A-612E-434C-B8D9-1A2A1BD60F1F}" name="Model" dataDxfId="9"/>
    <tableColumn id="2" xr3:uid="{4C9F2FBA-8C66-4FC6-808C-E035A1FE3016}" name="Input" dataDxfId="8"/>
    <tableColumn id="3" xr3:uid="{6C9C5F69-7203-469E-9EED-BCC6120784F0}" name="Cached input" dataDxfId="7"/>
    <tableColumn id="4" xr3:uid="{E83284FC-55D7-4A1C-B9EB-C0F4CF696168}" name="Output" dataDxfId="6"/>
    <tableColumn id="5" xr3:uid="{C56436B6-5CC2-4793-A351-C3F7FBF07E36}" name="курс" dataDxfId="5"/>
    <tableColumn id="6" xr3:uid="{6BF437F3-187A-4B36-8AE5-283AA0D68983}" name="токенов" dataDxfId="4"/>
    <tableColumn id="7" xr3:uid="{1432A634-3231-4862-A102-20D9148D19E1}" name="вход" dataDxfId="3">
      <calculatedColumnFormula>Таблица1[[#This Row],[Input]]*Таблица1[[#This Row],[курс]]</calculatedColumnFormula>
    </tableColumn>
    <tableColumn id="8" xr3:uid="{E3016421-9240-408D-BCBD-9C1596A52740}" name="Кэшированный ввод" dataDxfId="2">
      <calculatedColumnFormula>Таблица1[[#This Row],[Cached input]]*Таблица1[[#This Row],[курс]]</calculatedColumnFormula>
    </tableColumn>
    <tableColumn id="9" xr3:uid="{CC058C21-5871-421D-8127-53EEBE258BBC}" name="Выход" dataDxfId="1">
      <calculatedColumnFormula>Таблица1[[#This Row],[Output]]*Таблица1[[#This Row],[курс]]</calculatedColumnFormula>
    </tableColumn>
    <tableColumn id="10" xr3:uid="{A8316BEF-33B6-4B43-B6ED-F1C43E67C701}" name="цена за выход 1 токена" dataDxfId="0">
      <calculatedColumnFormula>Таблица1[[#This Row],[Выход]]/Таблица1[[#This Row],[токенов]]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nsole.runpod.io/deploy?gpu=RTX+A600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4282-5BE0-4D53-B1B6-2E60C83BD58B}">
  <dimension ref="B2:E23"/>
  <sheetViews>
    <sheetView showGridLines="0" tabSelected="1" topLeftCell="A14" workbookViewId="0">
      <selection activeCell="H29" sqref="H29"/>
    </sheetView>
  </sheetViews>
  <sheetFormatPr defaultRowHeight="17.25" x14ac:dyDescent="0.3"/>
  <cols>
    <col min="2" max="2" width="40.5" customWidth="1"/>
    <col min="3" max="3" width="9.375" bestFit="1" customWidth="1"/>
    <col min="4" max="4" width="11.25" customWidth="1"/>
  </cols>
  <sheetData>
    <row r="2" spans="2:4" x14ac:dyDescent="0.3">
      <c r="B2" s="1" t="s">
        <v>6</v>
      </c>
    </row>
    <row r="4" spans="2:4" x14ac:dyDescent="0.3">
      <c r="C4" t="s">
        <v>2</v>
      </c>
      <c r="D4" t="s">
        <v>4</v>
      </c>
    </row>
    <row r="5" spans="2:4" x14ac:dyDescent="0.3">
      <c r="B5" t="s">
        <v>0</v>
      </c>
      <c r="C5" t="s">
        <v>3</v>
      </c>
      <c r="D5" t="s">
        <v>5</v>
      </c>
    </row>
    <row r="6" spans="2:4" x14ac:dyDescent="0.3">
      <c r="B6" t="s">
        <v>1</v>
      </c>
      <c r="C6">
        <v>6400</v>
      </c>
      <c r="D6">
        <v>37000</v>
      </c>
    </row>
    <row r="7" spans="2:4" x14ac:dyDescent="0.3">
      <c r="B7" t="s">
        <v>7</v>
      </c>
      <c r="C7">
        <v>10592</v>
      </c>
      <c r="D7">
        <v>66546</v>
      </c>
    </row>
    <row r="8" spans="2:4" x14ac:dyDescent="0.3">
      <c r="B8" t="s">
        <v>9</v>
      </c>
      <c r="C8">
        <f>C7/C6</f>
        <v>1.655</v>
      </c>
      <c r="D8">
        <f>D7/D6</f>
        <v>1.7985405405405406</v>
      </c>
    </row>
    <row r="9" spans="2:4" x14ac:dyDescent="0.3">
      <c r="B9" t="s">
        <v>8</v>
      </c>
      <c r="C9">
        <v>7</v>
      </c>
      <c r="D9">
        <v>34</v>
      </c>
    </row>
    <row r="10" spans="2:4" ht="18" thickBot="1" x14ac:dyDescent="0.35"/>
    <row r="11" spans="2:4" x14ac:dyDescent="0.3">
      <c r="B11" s="12" t="s">
        <v>22</v>
      </c>
      <c r="C11" s="14">
        <f>'Цена GPT'!$K$20</f>
        <v>2.4000000000000001E-4</v>
      </c>
      <c r="D11" s="14">
        <f>'Цена GPT'!$K$20</f>
        <v>2.4000000000000001E-4</v>
      </c>
    </row>
    <row r="12" spans="2:4" ht="18" thickBot="1" x14ac:dyDescent="0.35">
      <c r="B12" t="s">
        <v>41</v>
      </c>
      <c r="C12" s="13">
        <f>$C$6*C11</f>
        <v>1.536</v>
      </c>
      <c r="D12" s="13">
        <f>$D$6*D11</f>
        <v>8.8800000000000008</v>
      </c>
    </row>
    <row r="13" spans="2:4" x14ac:dyDescent="0.3">
      <c r="B13" s="15" t="s">
        <v>29</v>
      </c>
      <c r="C13" s="14">
        <f>'Цена GPT'!$K$4</f>
        <v>1.3440000000000001E-2</v>
      </c>
      <c r="D13" s="14">
        <f>'Цена GPT'!$K$4</f>
        <v>1.3440000000000001E-2</v>
      </c>
    </row>
    <row r="14" spans="2:4" ht="18" thickBot="1" x14ac:dyDescent="0.35">
      <c r="B14" t="s">
        <v>41</v>
      </c>
      <c r="C14">
        <f>C6*C13</f>
        <v>86.016000000000005</v>
      </c>
      <c r="D14">
        <f>D6*D13</f>
        <v>497.28000000000003</v>
      </c>
    </row>
    <row r="15" spans="2:4" x14ac:dyDescent="0.3">
      <c r="B15" s="12" t="s">
        <v>45</v>
      </c>
      <c r="C15" s="14">
        <f>'Цена GPT'!$K$26</f>
        <v>3.1200000000000006E-5</v>
      </c>
      <c r="D15" s="14">
        <f>'Цена GPT'!$K$26</f>
        <v>3.1200000000000006E-5</v>
      </c>
    </row>
    <row r="16" spans="2:4" ht="18" thickBot="1" x14ac:dyDescent="0.35">
      <c r="B16" t="s">
        <v>41</v>
      </c>
      <c r="C16" s="13">
        <f>$C$6*C15</f>
        <v>0.19968000000000005</v>
      </c>
      <c r="D16" s="13">
        <f>$D$6*D15</f>
        <v>1.1544000000000003</v>
      </c>
    </row>
    <row r="17" spans="2:5" x14ac:dyDescent="0.3">
      <c r="B17" s="12" t="s">
        <v>46</v>
      </c>
      <c r="C17" s="14">
        <f>'Цена GPT'!$K$27</f>
        <v>3.3600000000000004E-5</v>
      </c>
      <c r="D17" s="14">
        <f>'Цена GPT'!$K$27</f>
        <v>3.3600000000000004E-5</v>
      </c>
    </row>
    <row r="18" spans="2:5" x14ac:dyDescent="0.3">
      <c r="B18" t="s">
        <v>41</v>
      </c>
      <c r="C18" s="13">
        <f>$C$6*C17</f>
        <v>0.21504000000000001</v>
      </c>
      <c r="D18" s="13">
        <f>$D$6*D17</f>
        <v>1.2432000000000001</v>
      </c>
    </row>
    <row r="20" spans="2:5" x14ac:dyDescent="0.3">
      <c r="B20" t="s">
        <v>47</v>
      </c>
      <c r="C20" t="s">
        <v>48</v>
      </c>
      <c r="D20" t="s">
        <v>50</v>
      </c>
    </row>
    <row r="21" spans="2:5" x14ac:dyDescent="0.3">
      <c r="B21" s="16" t="s">
        <v>49</v>
      </c>
      <c r="C21">
        <v>0.33</v>
      </c>
      <c r="D21">
        <f>C21*'Цена GPT'!$F$4</f>
        <v>26.400000000000002</v>
      </c>
    </row>
    <row r="23" spans="2:5" x14ac:dyDescent="0.3">
      <c r="B23" t="s">
        <v>51</v>
      </c>
      <c r="D23" s="13">
        <f>D21/D18</f>
        <v>21.235521235521237</v>
      </c>
      <c r="E23" t="s">
        <v>52</v>
      </c>
    </row>
  </sheetData>
  <hyperlinks>
    <hyperlink ref="B21" r:id="rId1" display="https://console.runpod.io/deploy?gpu=RTX+A6000" xr:uid="{456FA84D-2144-43E6-9C79-BF06D09D4CF6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011E-3E2E-4A80-8920-7025641741C5}">
  <dimension ref="B1:K27"/>
  <sheetViews>
    <sheetView showGridLines="0" topLeftCell="A19" zoomScale="85" zoomScaleNormal="85" workbookViewId="0">
      <selection activeCell="K27" activeCellId="1" sqref="K26 K27"/>
    </sheetView>
  </sheetViews>
  <sheetFormatPr defaultRowHeight="17.25" x14ac:dyDescent="0.3"/>
  <cols>
    <col min="2" max="2" width="35.5" customWidth="1"/>
    <col min="3" max="3" width="9" style="7"/>
    <col min="4" max="4" width="12.125" style="7" customWidth="1"/>
    <col min="5" max="5" width="9" style="7"/>
    <col min="7" max="7" width="12" bestFit="1" customWidth="1"/>
    <col min="10" max="10" width="14.5" customWidth="1"/>
  </cols>
  <sheetData>
    <row r="1" spans="2:11" x14ac:dyDescent="0.3">
      <c r="B1" t="s">
        <v>33</v>
      </c>
    </row>
    <row r="2" spans="2:11" ht="24" x14ac:dyDescent="0.3">
      <c r="C2" s="7" t="s">
        <v>36</v>
      </c>
      <c r="D2" s="3" t="s">
        <v>37</v>
      </c>
      <c r="E2" s="3" t="s">
        <v>38</v>
      </c>
      <c r="H2" s="7" t="s">
        <v>39</v>
      </c>
      <c r="I2" s="7" t="s">
        <v>39</v>
      </c>
      <c r="J2" s="7" t="s">
        <v>39</v>
      </c>
    </row>
    <row r="3" spans="2:11" ht="36" thickBot="1" x14ac:dyDescent="0.35">
      <c r="B3" s="2" t="s">
        <v>10</v>
      </c>
      <c r="C3" s="5" t="s">
        <v>11</v>
      </c>
      <c r="D3" s="5" t="s">
        <v>12</v>
      </c>
      <c r="E3" s="5" t="s">
        <v>13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40</v>
      </c>
    </row>
    <row r="4" spans="2:11" ht="18" thickBot="1" x14ac:dyDescent="0.35">
      <c r="B4" s="4" t="s">
        <v>29</v>
      </c>
      <c r="C4" s="6">
        <v>21</v>
      </c>
      <c r="D4" s="6">
        <v>0</v>
      </c>
      <c r="E4" s="6">
        <v>168</v>
      </c>
      <c r="F4" s="8">
        <v>80</v>
      </c>
      <c r="G4" s="9">
        <v>1000000</v>
      </c>
      <c r="H4" s="9">
        <f>Таблица1[[#This Row],[Input]]*Таблица1[[#This Row],[курс]]</f>
        <v>1680</v>
      </c>
      <c r="I4" s="9">
        <f>Таблица1[[#This Row],[Cached input]]*Таблица1[[#This Row],[курс]]</f>
        <v>0</v>
      </c>
      <c r="J4" s="9">
        <f>Таблица1[[#This Row],[Output]]*Таблица1[[#This Row],[курс]]</f>
        <v>13440</v>
      </c>
      <c r="K4" s="9">
        <f>Таблица1[[#This Row],[Выход]]/Таблица1[[#This Row],[токенов]]</f>
        <v>1.3440000000000001E-2</v>
      </c>
    </row>
    <row r="5" spans="2:11" ht="18" thickBot="1" x14ac:dyDescent="0.35">
      <c r="B5" s="4" t="s">
        <v>19</v>
      </c>
      <c r="C5" s="6">
        <v>15</v>
      </c>
      <c r="D5" s="6">
        <v>0</v>
      </c>
      <c r="E5" s="6">
        <v>120</v>
      </c>
      <c r="F5" s="8">
        <v>80</v>
      </c>
      <c r="G5" s="9">
        <v>1000000</v>
      </c>
      <c r="H5" s="9">
        <f>Таблица1[[#This Row],[Input]]*Таблица1[[#This Row],[курс]]</f>
        <v>1200</v>
      </c>
      <c r="I5" s="9">
        <f>Таблица1[[#This Row],[Cached input]]*Таблица1[[#This Row],[курс]]</f>
        <v>0</v>
      </c>
      <c r="J5" s="9">
        <f>Таблица1[[#This Row],[Output]]*Таблица1[[#This Row],[курс]]</f>
        <v>9600</v>
      </c>
      <c r="K5" s="9">
        <f>Таблица1[[#This Row],[Выход]]/Таблица1[[#This Row],[токенов]]</f>
        <v>9.5999999999999992E-3</v>
      </c>
    </row>
    <row r="6" spans="2:11" ht="18" thickBot="1" x14ac:dyDescent="0.35">
      <c r="B6" s="4" t="s">
        <v>21</v>
      </c>
      <c r="C6" s="6">
        <v>5</v>
      </c>
      <c r="D6" s="6">
        <v>0</v>
      </c>
      <c r="E6" s="6">
        <v>15</v>
      </c>
      <c r="F6" s="8">
        <v>80</v>
      </c>
      <c r="G6" s="9">
        <v>1000000</v>
      </c>
      <c r="H6" s="9">
        <f>Таблица1[[#This Row],[Input]]*Таблица1[[#This Row],[курс]]</f>
        <v>400</v>
      </c>
      <c r="I6" s="9">
        <f>Таблица1[[#This Row],[Cached input]]*Таблица1[[#This Row],[курс]]</f>
        <v>0</v>
      </c>
      <c r="J6" s="9">
        <f>Таблица1[[#This Row],[Output]]*Таблица1[[#This Row],[курс]]</f>
        <v>1200</v>
      </c>
      <c r="K6" s="9">
        <f>Таблица1[[#This Row],[Выход]]/Таблица1[[#This Row],[токенов]]</f>
        <v>1.1999999999999999E-3</v>
      </c>
    </row>
    <row r="7" spans="2:11" ht="18" thickBot="1" x14ac:dyDescent="0.35">
      <c r="B7" s="4" t="s">
        <v>44</v>
      </c>
      <c r="C7" s="6">
        <v>3</v>
      </c>
      <c r="D7" s="6">
        <v>4.05</v>
      </c>
      <c r="E7" s="6">
        <v>15</v>
      </c>
      <c r="F7" s="8">
        <v>80</v>
      </c>
      <c r="G7" s="9">
        <v>1000000</v>
      </c>
      <c r="H7" s="9">
        <f>Таблица1[[#This Row],[Input]]*Таблица1[[#This Row],[курс]]</f>
        <v>240</v>
      </c>
      <c r="I7" s="9">
        <f>Таблица1[[#This Row],[Cached input]]*Таблица1[[#This Row],[курс]]</f>
        <v>324</v>
      </c>
      <c r="J7" s="9">
        <f>Таблица1[[#This Row],[Output]]*Таблица1[[#This Row],[курс]]</f>
        <v>1200</v>
      </c>
      <c r="K7" s="9">
        <f>Таблица1[[#This Row],[Выход]]/Таблица1[[#This Row],[токенов]]</f>
        <v>1.1999999999999999E-3</v>
      </c>
    </row>
    <row r="8" spans="2:11" ht="18" thickBot="1" x14ac:dyDescent="0.35">
      <c r="B8" s="4" t="s">
        <v>23</v>
      </c>
      <c r="C8" s="6">
        <v>1.75</v>
      </c>
      <c r="D8" s="6">
        <v>0.17499999999999999</v>
      </c>
      <c r="E8" s="6">
        <v>14</v>
      </c>
      <c r="F8" s="8">
        <v>80</v>
      </c>
      <c r="G8" s="9">
        <v>1000000</v>
      </c>
      <c r="H8" s="9">
        <f>Таблица1[[#This Row],[Input]]*Таблица1[[#This Row],[курс]]</f>
        <v>140</v>
      </c>
      <c r="I8" s="9">
        <f>Таблица1[[#This Row],[Cached input]]*Таблица1[[#This Row],[курс]]</f>
        <v>14</v>
      </c>
      <c r="J8" s="9">
        <f>Таблица1[[#This Row],[Output]]*Таблица1[[#This Row],[курс]]</f>
        <v>1120</v>
      </c>
      <c r="K8" s="9">
        <f>Таблица1[[#This Row],[Выход]]/Таблица1[[#This Row],[токенов]]</f>
        <v>1.1199999999999999E-3</v>
      </c>
    </row>
    <row r="9" spans="2:11" ht="18" thickBot="1" x14ac:dyDescent="0.35">
      <c r="B9" s="4" t="s">
        <v>25</v>
      </c>
      <c r="C9" s="6">
        <v>1.75</v>
      </c>
      <c r="D9" s="6">
        <v>0.17499999999999999</v>
      </c>
      <c r="E9" s="6">
        <v>14</v>
      </c>
      <c r="F9" s="8">
        <v>80</v>
      </c>
      <c r="G9" s="9">
        <v>1000000</v>
      </c>
      <c r="H9" s="9">
        <f>Таблица1[[#This Row],[Input]]*Таблица1[[#This Row],[курс]]</f>
        <v>140</v>
      </c>
      <c r="I9" s="9">
        <f>Таблица1[[#This Row],[Cached input]]*Таблица1[[#This Row],[курс]]</f>
        <v>14</v>
      </c>
      <c r="J9" s="9">
        <f>Таблица1[[#This Row],[Output]]*Таблица1[[#This Row],[курс]]</f>
        <v>1120</v>
      </c>
      <c r="K9" s="9">
        <f>Таблица1[[#This Row],[Выход]]/Таблица1[[#This Row],[токенов]]</f>
        <v>1.1199999999999999E-3</v>
      </c>
    </row>
    <row r="10" spans="2:11" ht="18" thickBot="1" x14ac:dyDescent="0.35">
      <c r="B10" s="4" t="s">
        <v>43</v>
      </c>
      <c r="C10" s="6">
        <v>2</v>
      </c>
      <c r="D10" s="6">
        <v>2.2000000000000002</v>
      </c>
      <c r="E10" s="6">
        <v>12</v>
      </c>
      <c r="F10" s="8">
        <v>80</v>
      </c>
      <c r="G10" s="9">
        <v>1000000</v>
      </c>
      <c r="H10" s="9">
        <f>Таблица1[[#This Row],[Input]]*Таблица1[[#This Row],[курс]]</f>
        <v>160</v>
      </c>
      <c r="I10" s="9">
        <f>Таблица1[[#This Row],[Cached input]]*Таблица1[[#This Row],[курс]]</f>
        <v>176</v>
      </c>
      <c r="J10" s="9">
        <f>Таблица1[[#This Row],[Output]]*Таблица1[[#This Row],[курс]]</f>
        <v>960</v>
      </c>
      <c r="K10" s="9">
        <f>Таблица1[[#This Row],[Выход]]/Таблица1[[#This Row],[токенов]]</f>
        <v>9.6000000000000002E-4</v>
      </c>
    </row>
    <row r="11" spans="2:11" ht="18" thickBot="1" x14ac:dyDescent="0.35">
      <c r="B11" s="4" t="s">
        <v>24</v>
      </c>
      <c r="C11" s="6">
        <v>1.25</v>
      </c>
      <c r="D11" s="6">
        <v>0.125</v>
      </c>
      <c r="E11" s="6">
        <v>10</v>
      </c>
      <c r="F11" s="8">
        <v>80</v>
      </c>
      <c r="G11" s="9">
        <v>1000000</v>
      </c>
      <c r="H11" s="9">
        <f>Таблица1[[#This Row],[Input]]*Таблица1[[#This Row],[курс]]</f>
        <v>100</v>
      </c>
      <c r="I11" s="9">
        <f>Таблица1[[#This Row],[Cached input]]*Таблица1[[#This Row],[курс]]</f>
        <v>10</v>
      </c>
      <c r="J11" s="9">
        <f>Таблица1[[#This Row],[Output]]*Таблица1[[#This Row],[курс]]</f>
        <v>800</v>
      </c>
      <c r="K11" s="9">
        <f>Таблица1[[#This Row],[Выход]]/Таблица1[[#This Row],[токенов]]</f>
        <v>8.0000000000000004E-4</v>
      </c>
    </row>
    <row r="12" spans="2:11" ht="18" thickBot="1" x14ac:dyDescent="0.35">
      <c r="B12" s="4" t="s">
        <v>14</v>
      </c>
      <c r="C12" s="6">
        <v>1.25</v>
      </c>
      <c r="D12" s="6">
        <v>0.125</v>
      </c>
      <c r="E12" s="6">
        <v>10</v>
      </c>
      <c r="F12" s="8">
        <v>80</v>
      </c>
      <c r="G12" s="9">
        <v>1000000</v>
      </c>
      <c r="H12" s="9">
        <f>Таблица1[[#This Row],[Input]]*Таблица1[[#This Row],[курс]]</f>
        <v>100</v>
      </c>
      <c r="I12" s="9">
        <f>Таблица1[[#This Row],[Cached input]]*Таблица1[[#This Row],[курс]]</f>
        <v>10</v>
      </c>
      <c r="J12" s="9">
        <f>Таблица1[[#This Row],[Output]]*Таблица1[[#This Row],[курс]]</f>
        <v>800</v>
      </c>
      <c r="K12" s="9">
        <f>Таблица1[[#This Row],[Выход]]/Таблица1[[#This Row],[токенов]]</f>
        <v>8.0000000000000004E-4</v>
      </c>
    </row>
    <row r="13" spans="2:11" ht="18" thickBot="1" x14ac:dyDescent="0.35">
      <c r="B13" s="4" t="s">
        <v>26</v>
      </c>
      <c r="C13" s="6">
        <v>1.25</v>
      </c>
      <c r="D13" s="6">
        <v>0.125</v>
      </c>
      <c r="E13" s="6">
        <v>10</v>
      </c>
      <c r="F13" s="8">
        <v>80</v>
      </c>
      <c r="G13" s="9">
        <v>1000000</v>
      </c>
      <c r="H13" s="9">
        <f>Таблица1[[#This Row],[Input]]*Таблица1[[#This Row],[курс]]</f>
        <v>100</v>
      </c>
      <c r="I13" s="9">
        <f>Таблица1[[#This Row],[Cached input]]*Таблица1[[#This Row],[курс]]</f>
        <v>10</v>
      </c>
      <c r="J13" s="9">
        <f>Таблица1[[#This Row],[Output]]*Таблица1[[#This Row],[курс]]</f>
        <v>800</v>
      </c>
      <c r="K13" s="9">
        <f>Таблица1[[#This Row],[Выход]]/Таблица1[[#This Row],[токенов]]</f>
        <v>8.0000000000000004E-4</v>
      </c>
    </row>
    <row r="14" spans="2:11" ht="18" thickBot="1" x14ac:dyDescent="0.35">
      <c r="B14" s="4" t="s">
        <v>17</v>
      </c>
      <c r="C14" s="6">
        <v>1.25</v>
      </c>
      <c r="D14" s="6">
        <v>0.125</v>
      </c>
      <c r="E14" s="6">
        <v>10</v>
      </c>
      <c r="F14" s="8">
        <v>80</v>
      </c>
      <c r="G14" s="9">
        <v>1000000</v>
      </c>
      <c r="H14" s="9">
        <f>Таблица1[[#This Row],[Input]]*Таблица1[[#This Row],[курс]]</f>
        <v>100</v>
      </c>
      <c r="I14" s="9">
        <f>Таблица1[[#This Row],[Cached input]]*Таблица1[[#This Row],[курс]]</f>
        <v>10</v>
      </c>
      <c r="J14" s="9">
        <f>Таблица1[[#This Row],[Output]]*Таблица1[[#This Row],[курс]]</f>
        <v>800</v>
      </c>
      <c r="K14" s="9">
        <f>Таблица1[[#This Row],[Выход]]/Таблица1[[#This Row],[токенов]]</f>
        <v>8.0000000000000004E-4</v>
      </c>
    </row>
    <row r="15" spans="2:11" ht="18" thickBot="1" x14ac:dyDescent="0.35">
      <c r="B15" s="4" t="s">
        <v>27</v>
      </c>
      <c r="C15" s="6">
        <v>1.25</v>
      </c>
      <c r="D15" s="6">
        <v>0.125</v>
      </c>
      <c r="E15" s="6">
        <v>10</v>
      </c>
      <c r="F15" s="8">
        <v>80</v>
      </c>
      <c r="G15" s="9">
        <v>1000000</v>
      </c>
      <c r="H15" s="9">
        <f>Таблица1[[#This Row],[Input]]*Таблица1[[#This Row],[курс]]</f>
        <v>100</v>
      </c>
      <c r="I15" s="9">
        <f>Таблица1[[#This Row],[Cached input]]*Таблица1[[#This Row],[курс]]</f>
        <v>10</v>
      </c>
      <c r="J15" s="9">
        <f>Таблица1[[#This Row],[Output]]*Таблица1[[#This Row],[курс]]</f>
        <v>800</v>
      </c>
      <c r="K15" s="9">
        <f>Таблица1[[#This Row],[Выход]]/Таблица1[[#This Row],[токенов]]</f>
        <v>8.0000000000000004E-4</v>
      </c>
    </row>
    <row r="16" spans="2:11" ht="18" thickBot="1" x14ac:dyDescent="0.35">
      <c r="B16" s="4" t="s">
        <v>28</v>
      </c>
      <c r="C16" s="6">
        <v>1.25</v>
      </c>
      <c r="D16" s="6">
        <v>0.125</v>
      </c>
      <c r="E16" s="6">
        <v>10</v>
      </c>
      <c r="F16" s="8">
        <v>80</v>
      </c>
      <c r="G16" s="9">
        <v>1000000</v>
      </c>
      <c r="H16" s="9">
        <f>Таблица1[[#This Row],[Input]]*Таблица1[[#This Row],[курс]]</f>
        <v>100</v>
      </c>
      <c r="I16" s="9">
        <f>Таблица1[[#This Row],[Cached input]]*Таблица1[[#This Row],[курс]]</f>
        <v>10</v>
      </c>
      <c r="J16" s="9">
        <f>Таблица1[[#This Row],[Output]]*Таблица1[[#This Row],[курс]]</f>
        <v>800</v>
      </c>
      <c r="K16" s="9">
        <f>Таблица1[[#This Row],[Выход]]/Таблица1[[#This Row],[токенов]]</f>
        <v>8.0000000000000004E-4</v>
      </c>
    </row>
    <row r="17" spans="2:11" ht="18" thickBot="1" x14ac:dyDescent="0.35">
      <c r="B17" s="4" t="s">
        <v>18</v>
      </c>
      <c r="C17" s="6">
        <v>1.25</v>
      </c>
      <c r="D17" s="6">
        <v>0.125</v>
      </c>
      <c r="E17" s="6">
        <v>10</v>
      </c>
      <c r="F17" s="8">
        <v>80</v>
      </c>
      <c r="G17" s="9">
        <v>1000000</v>
      </c>
      <c r="H17" s="9">
        <f>Таблица1[[#This Row],[Input]]*Таблица1[[#This Row],[курс]]</f>
        <v>100</v>
      </c>
      <c r="I17" s="9">
        <f>Таблица1[[#This Row],[Cached input]]*Таблица1[[#This Row],[курс]]</f>
        <v>10</v>
      </c>
      <c r="J17" s="9">
        <f>Таблица1[[#This Row],[Output]]*Таблица1[[#This Row],[курс]]</f>
        <v>800</v>
      </c>
      <c r="K17" s="9">
        <f>Таблица1[[#This Row],[Выход]]/Таблица1[[#This Row],[токенов]]</f>
        <v>8.0000000000000004E-4</v>
      </c>
    </row>
    <row r="18" spans="2:11" ht="18" thickBot="1" x14ac:dyDescent="0.35">
      <c r="B18" s="4" t="s">
        <v>20</v>
      </c>
      <c r="C18" s="6">
        <v>2.5</v>
      </c>
      <c r="D18" s="6">
        <v>1.25</v>
      </c>
      <c r="E18" s="6">
        <v>10</v>
      </c>
      <c r="F18" s="8">
        <v>80</v>
      </c>
      <c r="G18" s="9">
        <v>1000000</v>
      </c>
      <c r="H18" s="9">
        <f>Таблица1[[#This Row],[Input]]*Таблица1[[#This Row],[курс]]</f>
        <v>200</v>
      </c>
      <c r="I18" s="9">
        <f>Таблица1[[#This Row],[Cached input]]*Таблица1[[#This Row],[курс]]</f>
        <v>100</v>
      </c>
      <c r="J18" s="9">
        <f>Таблица1[[#This Row],[Output]]*Таблица1[[#This Row],[курс]]</f>
        <v>800</v>
      </c>
      <c r="K18" s="9">
        <f>Таблица1[[#This Row],[Выход]]/Таблица1[[#This Row],[токенов]]</f>
        <v>8.0000000000000004E-4</v>
      </c>
    </row>
    <row r="19" spans="2:11" ht="18" thickBot="1" x14ac:dyDescent="0.35">
      <c r="B19" s="4" t="s">
        <v>30</v>
      </c>
      <c r="C19" s="6">
        <v>2</v>
      </c>
      <c r="D19" s="6">
        <v>0.5</v>
      </c>
      <c r="E19" s="6">
        <v>8</v>
      </c>
      <c r="F19" s="8">
        <v>80</v>
      </c>
      <c r="G19" s="9">
        <v>1000000</v>
      </c>
      <c r="H19" s="9">
        <f>Таблица1[[#This Row],[Input]]*Таблица1[[#This Row],[курс]]</f>
        <v>160</v>
      </c>
      <c r="I19" s="9">
        <f>Таблица1[[#This Row],[Cached input]]*Таблица1[[#This Row],[курс]]</f>
        <v>40</v>
      </c>
      <c r="J19" s="9">
        <f>Таблица1[[#This Row],[Output]]*Таблица1[[#This Row],[курс]]</f>
        <v>640</v>
      </c>
      <c r="K19" s="9">
        <f>Таблица1[[#This Row],[Выход]]/Таблица1[[#This Row],[токенов]]</f>
        <v>6.4000000000000005E-4</v>
      </c>
    </row>
    <row r="20" spans="2:11" ht="18" thickBot="1" x14ac:dyDescent="0.35">
      <c r="B20" s="4" t="s">
        <v>42</v>
      </c>
      <c r="C20" s="6">
        <v>0.5</v>
      </c>
      <c r="D20" s="6">
        <v>0.55000000000000004</v>
      </c>
      <c r="E20" s="6">
        <v>3</v>
      </c>
      <c r="F20" s="8">
        <v>80</v>
      </c>
      <c r="G20" s="9">
        <v>1000000</v>
      </c>
      <c r="H20" s="9">
        <f>Таблица1[[#This Row],[Input]]*Таблица1[[#This Row],[курс]]</f>
        <v>40</v>
      </c>
      <c r="I20" s="9">
        <f>Таблица1[[#This Row],[Cached input]]*Таблица1[[#This Row],[курс]]</f>
        <v>44</v>
      </c>
      <c r="J20" s="9">
        <f>Таблица1[[#This Row],[Output]]*Таблица1[[#This Row],[курс]]</f>
        <v>240</v>
      </c>
      <c r="K20" s="9">
        <f>Таблица1[[#This Row],[Выход]]/Таблица1[[#This Row],[токенов]]</f>
        <v>2.4000000000000001E-4</v>
      </c>
    </row>
    <row r="21" spans="2:11" ht="18" thickBot="1" x14ac:dyDescent="0.35">
      <c r="B21" s="4" t="s">
        <v>15</v>
      </c>
      <c r="C21" s="6">
        <v>0.25</v>
      </c>
      <c r="D21" s="6">
        <v>2.5000000000000001E-2</v>
      </c>
      <c r="E21" s="6">
        <v>2</v>
      </c>
      <c r="F21" s="8">
        <v>80</v>
      </c>
      <c r="G21" s="9">
        <v>1000000</v>
      </c>
      <c r="H21" s="9">
        <f>Таблица1[[#This Row],[Input]]*Таблица1[[#This Row],[курс]]</f>
        <v>20</v>
      </c>
      <c r="I21" s="9">
        <f>Таблица1[[#This Row],[Cached input]]*Таблица1[[#This Row],[курс]]</f>
        <v>2</v>
      </c>
      <c r="J21" s="9">
        <f>Таблица1[[#This Row],[Output]]*Таблица1[[#This Row],[курс]]</f>
        <v>160</v>
      </c>
      <c r="K21" s="9">
        <f>Таблица1[[#This Row],[Выход]]/Таблица1[[#This Row],[токенов]]</f>
        <v>1.6000000000000001E-4</v>
      </c>
    </row>
    <row r="22" spans="2:11" ht="18" thickBot="1" x14ac:dyDescent="0.35">
      <c r="B22" s="4" t="s">
        <v>31</v>
      </c>
      <c r="C22" s="6">
        <v>0.4</v>
      </c>
      <c r="D22" s="6">
        <v>0.1</v>
      </c>
      <c r="E22" s="6">
        <v>1.6</v>
      </c>
      <c r="F22" s="8">
        <v>80</v>
      </c>
      <c r="G22" s="9">
        <v>1000000</v>
      </c>
      <c r="H22" s="9">
        <f>Таблица1[[#This Row],[Input]]*Таблица1[[#This Row],[курс]]</f>
        <v>32</v>
      </c>
      <c r="I22" s="9">
        <f>Таблица1[[#This Row],[Cached input]]*Таблица1[[#This Row],[курс]]</f>
        <v>8</v>
      </c>
      <c r="J22" s="9">
        <f>Таблица1[[#This Row],[Output]]*Таблица1[[#This Row],[курс]]</f>
        <v>128</v>
      </c>
      <c r="K22" s="9">
        <f>Таблица1[[#This Row],[Выход]]/Таблица1[[#This Row],[токенов]]</f>
        <v>1.2799999999999999E-4</v>
      </c>
    </row>
    <row r="23" spans="2:11" ht="18" thickBot="1" x14ac:dyDescent="0.35">
      <c r="B23" s="11" t="s">
        <v>22</v>
      </c>
      <c r="C23" s="6">
        <v>0.15</v>
      </c>
      <c r="D23" s="6">
        <v>7.4999999999999997E-2</v>
      </c>
      <c r="E23" s="6">
        <v>0.6</v>
      </c>
      <c r="F23" s="8">
        <v>80</v>
      </c>
      <c r="G23" s="9">
        <v>1000000</v>
      </c>
      <c r="H23" s="9">
        <f>Таблица1[[#This Row],[Input]]*Таблица1[[#This Row],[курс]]</f>
        <v>12</v>
      </c>
      <c r="I23" s="9">
        <f>Таблица1[[#This Row],[Cached input]]*Таблица1[[#This Row],[курс]]</f>
        <v>6</v>
      </c>
      <c r="J23" s="9">
        <f>Таблица1[[#This Row],[Output]]*Таблица1[[#This Row],[курс]]</f>
        <v>48</v>
      </c>
      <c r="K23" s="9">
        <f>Таблица1[[#This Row],[Выход]]/Таблица1[[#This Row],[токенов]]</f>
        <v>4.8000000000000001E-5</v>
      </c>
    </row>
    <row r="24" spans="2:11" ht="18" thickBot="1" x14ac:dyDescent="0.35">
      <c r="B24" s="4" t="s">
        <v>16</v>
      </c>
      <c r="C24" s="6">
        <v>0.05</v>
      </c>
      <c r="D24" s="6">
        <v>5.0000000000000001E-3</v>
      </c>
      <c r="E24" s="6">
        <v>0.4</v>
      </c>
      <c r="F24" s="8">
        <v>80</v>
      </c>
      <c r="G24" s="9">
        <v>1000000</v>
      </c>
      <c r="H24" s="9">
        <f>Таблица1[[#This Row],[Input]]*Таблица1[[#This Row],[курс]]</f>
        <v>4</v>
      </c>
      <c r="I24" s="9">
        <f>Таблица1[[#This Row],[Cached input]]*Таблица1[[#This Row],[курс]]</f>
        <v>0.4</v>
      </c>
      <c r="J24" s="9">
        <f>Таблица1[[#This Row],[Output]]*Таблица1[[#This Row],[курс]]</f>
        <v>32</v>
      </c>
      <c r="K24" s="9">
        <f>Таблица1[[#This Row],[Выход]]/Таблица1[[#This Row],[токенов]]</f>
        <v>3.1999999999999999E-5</v>
      </c>
    </row>
    <row r="25" spans="2:11" ht="18" thickBot="1" x14ac:dyDescent="0.35">
      <c r="B25" s="4" t="s">
        <v>32</v>
      </c>
      <c r="C25" s="6">
        <v>0.1</v>
      </c>
      <c r="D25" s="6">
        <v>2.5000000000000001E-2</v>
      </c>
      <c r="E25" s="6">
        <v>0.4</v>
      </c>
      <c r="F25" s="8">
        <v>80</v>
      </c>
      <c r="G25" s="9">
        <v>1000000</v>
      </c>
      <c r="H25" s="9">
        <f>Таблица1[[#This Row],[Input]]*Таблица1[[#This Row],[курс]]</f>
        <v>8</v>
      </c>
      <c r="I25" s="9">
        <f>Таблица1[[#This Row],[Cached input]]*Таблица1[[#This Row],[курс]]</f>
        <v>2</v>
      </c>
      <c r="J25" s="9">
        <f>Таблица1[[#This Row],[Output]]*Таблица1[[#This Row],[курс]]</f>
        <v>32</v>
      </c>
      <c r="K25" s="9">
        <f>Таблица1[[#This Row],[Выход]]/Таблица1[[#This Row],[токенов]]</f>
        <v>3.1999999999999999E-5</v>
      </c>
    </row>
    <row r="26" spans="2:11" ht="18" thickBot="1" x14ac:dyDescent="0.35">
      <c r="B26" s="11" t="s">
        <v>45</v>
      </c>
      <c r="C26" s="6">
        <v>0.12</v>
      </c>
      <c r="D26" s="6"/>
      <c r="E26" s="6">
        <v>0.39</v>
      </c>
      <c r="F26" s="8">
        <v>80</v>
      </c>
      <c r="G26" s="9">
        <v>1000000</v>
      </c>
      <c r="H26" s="10">
        <f>Таблица1[[#This Row],[Input]]*Таблица1[[#This Row],[курс]]</f>
        <v>9.6</v>
      </c>
      <c r="I26" s="10">
        <f>Таблица1[[#This Row],[Cached input]]*Таблица1[[#This Row],[курс]]</f>
        <v>0</v>
      </c>
      <c r="J26" s="10">
        <f>Таблица1[[#This Row],[Output]]*Таблица1[[#This Row],[курс]]</f>
        <v>31.200000000000003</v>
      </c>
      <c r="K26" s="10">
        <f>Таблица1[[#This Row],[Выход]]/Таблица1[[#This Row],[токенов]]</f>
        <v>3.1200000000000006E-5</v>
      </c>
    </row>
    <row r="27" spans="2:11" x14ac:dyDescent="0.3">
      <c r="B27" s="11" t="s">
        <v>46</v>
      </c>
      <c r="C27" s="6">
        <v>0.28000000000000003</v>
      </c>
      <c r="D27" s="6"/>
      <c r="E27" s="6">
        <v>0.42</v>
      </c>
      <c r="F27" s="8">
        <v>80</v>
      </c>
      <c r="G27" s="9">
        <v>1000000</v>
      </c>
      <c r="H27" s="10">
        <f>Таблица1[[#This Row],[Input]]*Таблица1[[#This Row],[курс]]</f>
        <v>22.400000000000002</v>
      </c>
      <c r="I27" s="10">
        <f>Таблица1[[#This Row],[Cached input]]*Таблица1[[#This Row],[курс]]</f>
        <v>0</v>
      </c>
      <c r="J27" s="10">
        <f>Таблица1[[#This Row],[Output]]*Таблица1[[#This Row],[курс]]</f>
        <v>33.6</v>
      </c>
      <c r="K27" s="10">
        <f>Таблица1[[#This Row],[Выход]]/Таблица1[[#This Row],[токенов]]</f>
        <v>3.3600000000000004E-5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Цена GPT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F</dc:creator>
  <cp:lastModifiedBy>A F</cp:lastModifiedBy>
  <dcterms:created xsi:type="dcterms:W3CDTF">2025-12-22T08:10:31Z</dcterms:created>
  <dcterms:modified xsi:type="dcterms:W3CDTF">2025-12-22T13:41:16Z</dcterms:modified>
</cp:coreProperties>
</file>